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7/code/GenX_NewFork/GenX.jl/example_systems/6_three_zones_w_multistage/"/>
    </mc:Choice>
  </mc:AlternateContent>
  <xr:revisionPtr revIDLastSave="0" documentId="13_ncr:1_{01BD5A2E-117C-5942-8131-D6A5122627A3}" xr6:coauthVersionLast="47" xr6:coauthVersionMax="47" xr10:uidLastSave="{00000000-0000-0000-0000-000000000000}"/>
  <bookViews>
    <workbookView xWindow="0" yWindow="500" windowWidth="38400" windowHeight="19720" xr2:uid="{00000000-000D-0000-FFFF-FFFF00000000}"/>
  </bookViews>
  <sheets>
    <sheet name="costs_multi_stage" sheetId="1" r:id="rId1"/>
    <sheet name="capac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<sst xmlns="http://schemas.openxmlformats.org/spreadsheetml/2006/main" count="73" uniqueCount="37">
  <si>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t>Costs</t>
  </si>
  <si>
    <t>TotalCosts_p1</t>
  </si>
  <si>
    <t>TotalCosts_p2</t>
  </si>
  <si>
    <t>TotalCosts_p3</t>
  </si>
  <si>
    <t>cFix</t>
  </si>
  <si>
    <t>cVar</t>
  </si>
  <si>
    <t>cFuel</t>
  </si>
  <si>
    <t>cNSE</t>
  </si>
  <si>
    <t>cStart</t>
  </si>
  <si>
    <t>cUnmetRsv</t>
  </si>
  <si>
    <t>cNetworkExp</t>
  </si>
  <si>
    <t>cUnmetPolicyPenalty</t>
  </si>
  <si>
    <t>cCO2</t>
  </si>
  <si>
    <t>30_7_3</t>
  </si>
  <si>
    <t>3_7_30</t>
  </si>
  <si>
    <t>5_10_15</t>
  </si>
  <si>
    <t>10_10_20</t>
  </si>
  <si>
    <t>10_10_10</t>
  </si>
  <si>
    <t>10_10_10_old</t>
  </si>
  <si>
    <t>Resource</t>
  </si>
  <si>
    <t>Zone</t>
  </si>
  <si>
    <t>StartCap_p1</t>
  </si>
  <si>
    <t>EndCap_p1</t>
  </si>
  <si>
    <t>EndCap_p2</t>
  </si>
  <si>
    <t>EndCap_p3</t>
  </si>
  <si>
    <t>MA_natural_gas_combined_cycle</t>
  </si>
  <si>
    <t>CT_natural_gas_combined_cycle</t>
  </si>
  <si>
    <t>ME_natural_gas_combined_cycle</t>
  </si>
  <si>
    <t>MA_solar_pv</t>
  </si>
  <si>
    <t>CT_onshore_wind</t>
  </si>
  <si>
    <t>CT_solar_pv</t>
  </si>
  <si>
    <t>ME_onshore_wind</t>
  </si>
  <si>
    <t>MA_battery</t>
  </si>
  <si>
    <t>CT_battery</t>
  </si>
  <si>
    <t>ME_battery</t>
  </si>
  <si>
    <t>Total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</si>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</sst>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18" fillId="33" borderId="0" xfId="0" applyFont="1" applyFill="1"/>
    <xf numFmtId="11" fontId="0" fillId="33" borderId="0" xfId="0" applyNumberFormat="1" applyFill="1"/>
    <xf numFmtId="0" fontId="0" fillId="33" borderId="0" xfId="0" applyFill="1"/>
    <xf numFmtId="0" fontId="18" fillId="34" borderId="0" xfId="0" applyFont="1" applyFill="1"/>
    <xf numFmtId="11" fontId="0" fillId="34" borderId="0" xfId="0" applyNumberFormat="1" applyFill="1"/>
    <xf numFmtId="0" fontId="0" fillId="34" borderId="0" xfId="0" applyFill="1"/>
    <xf numFmtId="0" fontId="18" fillId="35" borderId="0" xfId="0" applyFont="1" applyFill="1"/>
    <xf numFmtId="11" fontId="0" fillId="35" borderId="0" xfId="0" applyNumberFormat="1" applyFill="1"/>
    <xf numFmtId="0" fontId="0" fillId="35" borderId="0" xfId="0" applyFill="1"/>
    <xf numFmtId="0" fontId="18" fillId="36" borderId="0" xfId="0" applyFont="1" applyFill="1"/>
    <xf numFmtId="11" fontId="0" fillId="36" borderId="0" xfId="0" applyNumberFormat="1" applyFill="1"/>
    <xf numFmtId="0" fontId="0" fillId="36" borderId="0" xfId="0" applyFill="1"/>
    <xf numFmtId="0" fontId="18" fillId="37" borderId="0" xfId="0" applyFont="1" applyFill="1"/>
    <xf numFmtId="11" fontId="0" fillId="37" borderId="0" xfId="0" applyNumberFormat="1" applyFill="1"/>
    <xf numFmtId="0" fontId="0" fillId="37" borderId="0" xfId="0" applyFill="1"/>
    <xf numFmtId="0" fontId="18" fillId="38" borderId="0" xfId="0" applyFont="1" applyFill="1"/>
    <xf numFmtId="11" fontId="0" fillId="38" borderId="0" xfId="0" applyNumberFormat="1" applyFill="1"/>
    <xf numFmtId="0" fontId="0" fillId="38" borderId="0" xfId="0" applyFill="1"/>
    <xf numFmtId="0" fontId="18" fillId="39" borderId="0" xfId="0" applyFont="1" applyFill="1"/>
    <xf numFmtId="0" fontId="18" fillId="40" borderId="0" xfId="0" applyFont="1" applyFill="1"/>
    <xf numFmtId="0" fontId="18" fillId="41" borderId="0" xfId="0" applyFont="1" applyFill="1"/>
    <xf numFmtId="168" fontId="0" fillId="33" borderId="0" xfId="42" applyNumberFormat="1" applyFont="1" applyFill="1"/>
    <xf numFmtId="168" fontId="0" fillId="39" borderId="0" xfId="42" applyNumberFormat="1" applyFont="1" applyFill="1"/>
    <xf numFmtId="168" fontId="0" fillId="35" borderId="0" xfId="42" applyNumberFormat="1" applyFont="1" applyFill="1"/>
    <xf numFmtId="168" fontId="0" fillId="40" borderId="0" xfId="42" applyNumberFormat="1" applyFont="1" applyFill="1"/>
    <xf numFmtId="168" fontId="0" fillId="37" borderId="0" xfId="42" applyNumberFormat="1" applyFont="1" applyFill="1"/>
    <xf numFmtId="168" fontId="0" fillId="41" borderId="0" xfId="42" applyNumberFormat="1" applyFont="1" applyFill="1"/>
    <xf numFmtId="168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costs_multi_stage!$A$3</c:f>
              <c:strCache>
                <c:ptCount val="1"/>
                <c:pt idx="0">
                  <c:v>cFix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costs_multi_stage!$B$3:$S$3</c:f>
              <c:numCache>
                <c:formatCode>0.00E+00</c:formatCode>
                <c:ptCount val="18"/>
                <c:pt idx="0">
                  <c:v>30896236780.9174</c:v>
                </c:pt>
                <c:pt idx="1">
                  <c:v>583381337.96656096</c:v>
                </c:pt>
                <c:pt idx="2">
                  <c:v>4395339330.4987497</c:v>
                </c:pt>
                <c:pt idx="3">
                  <c:v>21436909619.547501</c:v>
                </c:pt>
                <c:pt idx="4">
                  <c:v>2043912537.14044</c:v>
                </c:pt>
                <c:pt idx="5">
                  <c:v>91531329234.979202</c:v>
                </c:pt>
                <c:pt idx="6">
                  <c:v>25687510424.357498</c:v>
                </c:pt>
                <c:pt idx="7">
                  <c:v>1632976902.3617699</c:v>
                </c:pt>
                <c:pt idx="8">
                  <c:v>56069591015.805</c:v>
                </c:pt>
                <c:pt idx="9">
                  <c:v>22239845078.1507</c:v>
                </c:pt>
                <c:pt idx="10">
                  <c:v>1640862271.5859301</c:v>
                </c:pt>
                <c:pt idx="11">
                  <c:v>55701111841.8423</c:v>
                </c:pt>
                <c:pt idx="12">
                  <c:v>23195760067.860298</c:v>
                </c:pt>
                <c:pt idx="13">
                  <c:v>1274721920.8396001</c:v>
                </c:pt>
                <c:pt idx="14">
                  <c:v>31809596869.117901</c:v>
                </c:pt>
                <c:pt idx="15">
                  <c:v>23195760067.860298</c:v>
                </c:pt>
                <c:pt idx="16">
                  <c:v>1274721920.8396001</c:v>
                </c:pt>
                <c:pt idx="17">
                  <c:v>31809596869.117901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6-9F43-949A-46DB768F235D}"/>
            </c:ext>
          </c:extLst>
        </c:ser>
        <c:ser>
          <c:idx val="1"/>
          <c:order val="1"/>
          <c:tx>
            <c:strRef>
              <c:f>costs_multi_stage!$A$4</c:f>
              <c:strCache>
                <c:ptCount val="1"/>
                <c:pt idx="0">
                  <c:v>cVar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costs_multi_stage!$B$4:$S$4</c:f>
              <c:numCache>
                <c:formatCode>0.00E+00</c:formatCode>
                <c:ptCount val="18"/>
                <c:pt idx="0">
                  <c:v>6401144340.3310499</c:v>
                </c:pt>
                <c:pt idx="1">
                  <c:v>614982406.65732598</c:v>
                </c:pt>
                <c:pt idx="2">
                  <c:v>36457012.124949902</c:v>
                </c:pt>
                <c:pt idx="3">
                  <c:v>1193832746.1475999</c:v>
                </c:pt>
                <c:pt idx="4">
                  <c:v>2237257536.4066</c:v>
                </c:pt>
                <c:pt idx="5">
                  <c:v>709657001.49232304</c:v>
                </c:pt>
                <c:pt idx="6">
                  <c:v>3265490556.6759601</c:v>
                </c:pt>
                <c:pt idx="7">
                  <c:v>2093798824.6630299</c:v>
                </c:pt>
                <c:pt idx="8">
                  <c:v>365134462.42998499</c:v>
                </c:pt>
                <c:pt idx="9">
                  <c:v>1907048884.5699</c:v>
                </c:pt>
                <c:pt idx="10">
                  <c:v>2751429426.3015099</c:v>
                </c:pt>
                <c:pt idx="11">
                  <c:v>375748483.548051</c:v>
                </c:pt>
                <c:pt idx="12">
                  <c:v>3437372151.2898002</c:v>
                </c:pt>
                <c:pt idx="13">
                  <c:v>2207629045.12465</c:v>
                </c:pt>
                <c:pt idx="14">
                  <c:v>221938539.916242</c:v>
                </c:pt>
                <c:pt idx="15">
                  <c:v>3437372151.2898002</c:v>
                </c:pt>
                <c:pt idx="16">
                  <c:v>2207629045.12465</c:v>
                </c:pt>
                <c:pt idx="17">
                  <c:v>221938539.916242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6-9F43-949A-46DB768F235D}"/>
            </c:ext>
          </c:extLst>
        </c:ser>
        <c:ser>
          <c:idx val="2"/>
          <c:order val="2"/>
          <c:tx>
            <c:strRef>
              <c:f>costs_multi_stage!$A$5</c:f>
              <c:strCache>
                <c:ptCount val="1"/>
                <c:pt idx="0">
                  <c:v>cFuel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costs_multi_stage!$B$5:$S$5</c:f>
              <c:numCache>
                <c:formatCode>0.00E+00</c:formatCode>
                <c:ptCount val="18"/>
                <c:pt idx="0">
                  <c:v>2088142185.9433601</c:v>
                </c:pt>
                <c:pt idx="1">
                  <c:v>573709350.49188495</c:v>
                </c:pt>
                <c:pt idx="2">
                  <c:v>54668497.237181902</c:v>
                </c:pt>
                <c:pt idx="3">
                  <c:v>2383724148.7771502</c:v>
                </c:pt>
                <c:pt idx="4">
                  <c:v>2132866219.98243</c:v>
                </c:pt>
                <c:pt idx="5">
                  <c:v>179488805.474749</c:v>
                </c:pt>
                <c:pt idx="6">
                  <c:v>2218578294.1156402</c:v>
                </c:pt>
                <c:pt idx="7">
                  <c:v>1470914497.6042299</c:v>
                </c:pt>
                <c:pt idx="8">
                  <c:v>115004076.181274</c:v>
                </c:pt>
                <c:pt idx="9">
                  <c:v>2361916665.1073999</c:v>
                </c:pt>
                <c:pt idx="10">
                  <c:v>1950728427.60377</c:v>
                </c:pt>
                <c:pt idx="11">
                  <c:v>143514480.499082</c:v>
                </c:pt>
                <c:pt idx="12">
                  <c:v>2358419891.53684</c:v>
                </c:pt>
                <c:pt idx="13">
                  <c:v>1569781677.12867</c:v>
                </c:pt>
                <c:pt idx="14">
                  <c:v>115498019.995546</c:v>
                </c:pt>
                <c:pt idx="15">
                  <c:v>2358419891.53684</c:v>
                </c:pt>
                <c:pt idx="16">
                  <c:v>1569781677.12867</c:v>
                </c:pt>
                <c:pt idx="17">
                  <c:v>115498019.995546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6-9F43-949A-46DB768F235D}"/>
            </c:ext>
          </c:extLst>
        </c:ser>
        <c:ser>
          <c:idx val="3"/>
          <c:order val="3"/>
          <c:tx>
            <c:strRef>
              <c:f>costs_multi_stage!$A$6</c:f>
              <c:strCache>
                <c:ptCount val="1"/>
                <c:pt idx="0">
                  <c:v>cNSE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costs_multi_stage!$B$6:$S$6</c:f>
              <c:numCache>
                <c:formatCode>0.00E+00</c:formatCode>
                <c:ptCount val="18"/>
                <c:pt idx="0">
                  <c:v>161264165.08291501</c:v>
                </c:pt>
                <c:pt idx="1">
                  <c:v>15576579.9371743</c:v>
                </c:pt>
                <c:pt idx="2" formatCode="General">
                  <c:v>0</c:v>
                </c:pt>
                <c:pt idx="3">
                  <c:v>224535187.28865799</c:v>
                </c:pt>
                <c:pt idx="4">
                  <c:v>37212289.680841498</c:v>
                </c:pt>
                <c:pt idx="5" formatCode="General">
                  <c:v>0</c:v>
                </c:pt>
                <c:pt idx="6">
                  <c:v>23514382.056967001</c:v>
                </c:pt>
                <c:pt idx="7">
                  <c:v>15141561.532311199</c:v>
                </c:pt>
                <c:pt idx="8" formatCode="General">
                  <c:v>0</c:v>
                </c:pt>
                <c:pt idx="9">
                  <c:v>55905137.278416499</c:v>
                </c:pt>
                <c:pt idx="10">
                  <c:v>37197458.1304546</c:v>
                </c:pt>
                <c:pt idx="11" formatCode="General">
                  <c:v>0</c:v>
                </c:pt>
                <c:pt idx="12">
                  <c:v>49897339.394862697</c:v>
                </c:pt>
                <c:pt idx="13">
                  <c:v>29849139.203948401</c:v>
                </c:pt>
                <c:pt idx="14" formatCode="General">
                  <c:v>0</c:v>
                </c:pt>
                <c:pt idx="15">
                  <c:v>49897339.394862697</c:v>
                </c:pt>
                <c:pt idx="16">
                  <c:v>29849139.203948401</c:v>
                </c:pt>
                <c:pt idx="1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6-9F43-949A-46DB768F235D}"/>
            </c:ext>
          </c:extLst>
        </c:ser>
        <c:ser>
          <c:idx val="4"/>
          <c:order val="4"/>
          <c:tx>
            <c:strRef>
              <c:f>costs_multi_stage!$A$7</c:f>
              <c:strCache>
                <c:ptCount val="1"/>
                <c:pt idx="0">
                  <c:v>cStart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costs_multi_stage!$B$7:$S$7</c:f>
              <c:numCache>
                <c:formatCode>0.00E+00</c:formatCode>
                <c:ptCount val="18"/>
                <c:pt idx="0">
                  <c:v>28039606.8700011</c:v>
                </c:pt>
                <c:pt idx="1">
                  <c:v>3213957.7069950998</c:v>
                </c:pt>
                <c:pt idx="2">
                  <c:v>36458472.987727202</c:v>
                </c:pt>
                <c:pt idx="3" formatCode="General">
                  <c:v>497571.39287071401</c:v>
                </c:pt>
                <c:pt idx="4">
                  <c:v>1900452.08668543</c:v>
                </c:pt>
                <c:pt idx="5">
                  <c:v>605238613.21854997</c:v>
                </c:pt>
                <c:pt idx="6">
                  <c:v>2567362.3834398901</c:v>
                </c:pt>
                <c:pt idx="7" formatCode="General">
                  <c:v>773277.30184429395</c:v>
                </c:pt>
                <c:pt idx="8">
                  <c:v>342749999.04712802</c:v>
                </c:pt>
                <c:pt idx="9">
                  <c:v>2033286.8676331199</c:v>
                </c:pt>
                <c:pt idx="10">
                  <c:v>5053586.1146339402</c:v>
                </c:pt>
                <c:pt idx="11">
                  <c:v>351336288.88627398</c:v>
                </c:pt>
                <c:pt idx="12">
                  <c:v>2609160.1794531099</c:v>
                </c:pt>
                <c:pt idx="13">
                  <c:v>1183594.8191714899</c:v>
                </c:pt>
                <c:pt idx="14">
                  <c:v>204535221.748923</c:v>
                </c:pt>
                <c:pt idx="15">
                  <c:v>2609160.1794531099</c:v>
                </c:pt>
                <c:pt idx="16">
                  <c:v>1183594.8191714899</c:v>
                </c:pt>
                <c:pt idx="17">
                  <c:v>204535221.748923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6-9F43-949A-46DB768F235D}"/>
            </c:ext>
          </c:extLst>
        </c:ser>
        <c:ser>
          <c:idx val="5"/>
          <c:order val="5"/>
          <c:tx>
            <c:strRef>
              <c:f>costs_multi_stage!$A$8</c:f>
              <c:strCache>
                <c:ptCount val="1"/>
                <c:pt idx="0">
                  <c:v>cUnmetRsv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costs_multi_stage!$B$8:$S$8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6-9F43-949A-46DB768F235D}"/>
            </c:ext>
          </c:extLst>
        </c:ser>
        <c:ser>
          <c:idx val="6"/>
          <c:order val="6"/>
          <c:tx>
            <c:strRef>
              <c:f>costs_multi_stage!$A$9</c:f>
              <c:strCache>
                <c:ptCount val="1"/>
                <c:pt idx="0">
                  <c:v>cNetworkExp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costs_multi_stage!$B$9:$S$9</c:f>
              <c:numCache>
                <c:formatCode>0.00E+00</c:formatCode>
                <c:ptCount val="18"/>
                <c:pt idx="0">
                  <c:v>479407334.01757699</c:v>
                </c:pt>
                <c:pt idx="1">
                  <c:v>74989083.644476399</c:v>
                </c:pt>
                <c:pt idx="2">
                  <c:v>12584470.481489699</c:v>
                </c:pt>
                <c:pt idx="3">
                  <c:v>317788345.49527597</c:v>
                </c:pt>
                <c:pt idx="4">
                  <c:v>281629217.84092098</c:v>
                </c:pt>
                <c:pt idx="5">
                  <c:v>513617992.576594</c:v>
                </c:pt>
                <c:pt idx="6">
                  <c:v>479407334.01757699</c:v>
                </c:pt>
                <c:pt idx="7">
                  <c:v>167122369.18373099</c:v>
                </c:pt>
                <c:pt idx="8">
                  <c:v>242350049.58656499</c:v>
                </c:pt>
                <c:pt idx="9">
                  <c:v>464986978.36469102</c:v>
                </c:pt>
                <c:pt idx="10">
                  <c:v>193872962.33250901</c:v>
                </c:pt>
                <c:pt idx="11">
                  <c:v>261837124.81315699</c:v>
                </c:pt>
                <c:pt idx="12">
                  <c:v>479407334.01757699</c:v>
                </c:pt>
                <c:pt idx="13">
                  <c:v>132874526.673728</c:v>
                </c:pt>
                <c:pt idx="14">
                  <c:v>156560162.532846</c:v>
                </c:pt>
                <c:pt idx="15">
                  <c:v>479407334.01757699</c:v>
                </c:pt>
                <c:pt idx="16">
                  <c:v>132874526.673728</c:v>
                </c:pt>
                <c:pt idx="17">
                  <c:v>156560162.532846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6-9F43-949A-46DB768F235D}"/>
            </c:ext>
          </c:extLst>
        </c:ser>
        <c:ser>
          <c:idx val="7"/>
          <c:order val="7"/>
          <c:tx>
            <c:strRef>
              <c:f>costs_multi_stage!$A$10</c:f>
              <c:strCache>
                <c:ptCount val="1"/>
                <c:pt idx="0">
                  <c:v>cUnmetPolicyPenalty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costs_multi_stage!$B$10:$S$10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66-9F43-949A-46DB768F235D}"/>
            </c:ext>
          </c:extLst>
        </c:ser>
        <c:ser>
          <c:idx val="8"/>
          <c:order val="8"/>
          <c:tx>
            <c:strRef>
              <c:f>costs_multi_stage!$A$11</c:f>
              <c:strCache>
                <c:ptCount val="1"/>
                <c:pt idx="0">
                  <c:v>cCO2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costs_multi_stage!$B$11:$S$11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66-9F43-949A-46DB768F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41008"/>
        <c:axId val="133385280"/>
      </c:barChart>
      <c:catAx>
        <c:axId val="560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5280"/>
        <c:crosses val="autoZero"/>
        <c:auto val="1"/>
        <c:lblAlgn val="ctr"/>
        <c:lblOffset val="100"/>
        <c:noMultiLvlLbl val="0"/>
      </c:catAx>
      <c:valAx>
        <c:axId val="1333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capacity!$A$3</c:f>
              <c:strCache>
                <c:ptCount val="1"/>
                <c:pt idx="0">
                  <c:v>MA_natural_gas_combined_cycle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(capacity!$D$3:$F$3,capacity!$G$3:$I$3,capacity!$J$3:$L$3,capacity!$M$3:$O$3,capacity!$P$3:$R$3,capacity!$S$3:$U$3)</c:f>
              <c:numCache>
                <c:formatCode>_(* #,##0_);_(* \(#,##0\);_(* "-"??_);_(@_)</c:formatCode>
                <c:ptCount val="18"/>
                <c:pt idx="0">
                  <c:v>12918.844074410999</c:v>
                </c:pt>
                <c:pt idx="1">
                  <c:v>12918.844074410999</c:v>
                </c:pt>
                <c:pt idx="2">
                  <c:v>6912.0572310190801</c:v>
                </c:pt>
                <c:pt idx="3">
                  <c:v>14413.1131308863</c:v>
                </c:pt>
                <c:pt idx="4">
                  <c:v>14413.1131308863</c:v>
                </c:pt>
                <c:pt idx="5">
                  <c:v>8360.0752632956992</c:v>
                </c:pt>
                <c:pt idx="6">
                  <c:v>12758.174701509201</c:v>
                </c:pt>
                <c:pt idx="7">
                  <c:v>12758.174701509201</c:v>
                </c:pt>
                <c:pt idx="8">
                  <c:v>8569.8592497260997</c:v>
                </c:pt>
                <c:pt idx="9">
                  <c:v>14314.023674349701</c:v>
                </c:pt>
                <c:pt idx="10">
                  <c:v>14384.7784853466</c:v>
                </c:pt>
                <c:pt idx="11">
                  <c:v>8478.3435169549102</c:v>
                </c:pt>
                <c:pt idx="12">
                  <c:v>12723.105066149999</c:v>
                </c:pt>
                <c:pt idx="13">
                  <c:v>12728.1890129196</c:v>
                </c:pt>
                <c:pt idx="14">
                  <c:v>8431.3669938702496</c:v>
                </c:pt>
                <c:pt idx="15">
                  <c:v>12723.105066149999</c:v>
                </c:pt>
                <c:pt idx="16">
                  <c:v>12728.1890129196</c:v>
                </c:pt>
                <c:pt idx="17">
                  <c:v>8431.3669938702496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E04C-8789-9A29B8BA52D5}"/>
            </c:ext>
          </c:extLst>
        </c:ser>
        <c:ser>
          <c:idx val="1"/>
          <c:order val="1"/>
          <c:tx>
            <c:strRef>
              <c:f>capacity!$A$4</c:f>
              <c:strCache>
                <c:ptCount val="1"/>
                <c:pt idx="0">
                  <c:v>CT_natural_gas_combined_cycle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(capacity!$D$4:$F$4,capacity!$G$4:$I$4,capacity!$J$4:$L$4,capacity!$M$4:$O$4,capacity!$P$4:$R$4,capacity!$S$4:$U$4)</c:f>
              <c:numCache>
                <c:formatCode>_(* #,##0_);_(* \(#,##0\);_(* "-"??_);_(@_)</c:formatCode>
                <c:ptCount val="18"/>
                <c:pt idx="0">
                  <c:v>9784.5206423808195</c:v>
                </c:pt>
                <c:pt idx="1">
                  <c:v>9784.5206423808195</c:v>
                </c:pt>
                <c:pt idx="2">
                  <c:v>4294.6317667838302</c:v>
                </c:pt>
                <c:pt idx="3">
                  <c:v>7868.5453585232599</c:v>
                </c:pt>
                <c:pt idx="4">
                  <c:v>7868.5453585232599</c:v>
                </c:pt>
                <c:pt idx="5">
                  <c:v>2412.7025441188198</c:v>
                </c:pt>
                <c:pt idx="6">
                  <c:v>9738.9599166571097</c:v>
                </c:pt>
                <c:pt idx="7">
                  <c:v>9738.9599166571097</c:v>
                </c:pt>
                <c:pt idx="8">
                  <c:v>2343.5419896081798</c:v>
                </c:pt>
                <c:pt idx="9">
                  <c:v>8993.0215770019404</c:v>
                </c:pt>
                <c:pt idx="10">
                  <c:v>8993.0215770019404</c:v>
                </c:pt>
                <c:pt idx="11">
                  <c:v>2408.6800695963002</c:v>
                </c:pt>
                <c:pt idx="12">
                  <c:v>10668.064219149999</c:v>
                </c:pt>
                <c:pt idx="13">
                  <c:v>10668.064219149999</c:v>
                </c:pt>
                <c:pt idx="14">
                  <c:v>2381.13153075636</c:v>
                </c:pt>
                <c:pt idx="15">
                  <c:v>10668.064219149999</c:v>
                </c:pt>
                <c:pt idx="16">
                  <c:v>10668.064219149999</c:v>
                </c:pt>
                <c:pt idx="17">
                  <c:v>2381.13153075636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3-E04C-8789-9A29B8BA52D5}"/>
            </c:ext>
          </c:extLst>
        </c:ser>
        <c:ser>
          <c:idx val="2"/>
          <c:order val="2"/>
          <c:tx>
            <c:strRef>
              <c:f>capacity!$A$5</c:f>
              <c:strCache>
                <c:ptCount val="1"/>
                <c:pt idx="0">
                  <c:v>ME_natural_gas_combined_cycle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(capacity!$D$5:$F$5,capacity!$G$5:$I$5,capacity!$J$5:$L$5,capacity!$M$5:$O$5,capacity!$P$5:$R$5,capacity!$S$5:$U$5)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327.30300028495901</c:v>
                </c:pt>
                <c:pt idx="3">
                  <c:v>851.380169974983</c:v>
                </c:pt>
                <c:pt idx="4">
                  <c:v>851.380169974983</c:v>
                </c:pt>
                <c:pt idx="5">
                  <c:v>495.45921996618301</c:v>
                </c:pt>
                <c:pt idx="6">
                  <c:v>130.52601582902699</c:v>
                </c:pt>
                <c:pt idx="7">
                  <c:v>130.52601582902699</c:v>
                </c:pt>
                <c:pt idx="8">
                  <c:v>524.57317177738605</c:v>
                </c:pt>
                <c:pt idx="9">
                  <c:v>271.87684699999897</c:v>
                </c:pt>
                <c:pt idx="10">
                  <c:v>271.87684699999897</c:v>
                </c:pt>
                <c:pt idx="11">
                  <c:v>522.17701624851895</c:v>
                </c:pt>
                <c:pt idx="12">
                  <c:v>273.87084700000003</c:v>
                </c:pt>
                <c:pt idx="13">
                  <c:v>273.87084700000003</c:v>
                </c:pt>
                <c:pt idx="14">
                  <c:v>514.44368776029</c:v>
                </c:pt>
                <c:pt idx="15">
                  <c:v>273.87084700000003</c:v>
                </c:pt>
                <c:pt idx="16">
                  <c:v>273.87084700000003</c:v>
                </c:pt>
                <c:pt idx="17">
                  <c:v>514.44368776029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3-E04C-8789-9A29B8BA52D5}"/>
            </c:ext>
          </c:extLst>
        </c:ser>
        <c:ser>
          <c:idx val="3"/>
          <c:order val="3"/>
          <c:tx>
            <c:strRef>
              <c:f>capacity!$A$6</c:f>
              <c:strCache>
                <c:ptCount val="1"/>
                <c:pt idx="0">
                  <c:v>MA_solar_pv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(capacity!$D$6:$F$6,capacity!$G$6:$I$6,capacity!$J$6:$L$6,capacity!$M$6:$O$6,capacity!$P$6:$R$6,capacity!$S$6:$U$6)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14379.415876803299</c:v>
                </c:pt>
                <c:pt idx="3">
                  <c:v>0</c:v>
                </c:pt>
                <c:pt idx="4">
                  <c:v>13.2716630650415</c:v>
                </c:pt>
                <c:pt idx="5">
                  <c:v>11622.506923798701</c:v>
                </c:pt>
                <c:pt idx="6">
                  <c:v>0</c:v>
                </c:pt>
                <c:pt idx="7">
                  <c:v>0</c:v>
                </c:pt>
                <c:pt idx="8">
                  <c:v>11765.7215951747</c:v>
                </c:pt>
                <c:pt idx="9">
                  <c:v>0</c:v>
                </c:pt>
                <c:pt idx="10">
                  <c:v>0</c:v>
                </c:pt>
                <c:pt idx="11">
                  <c:v>11824.3104903326</c:v>
                </c:pt>
                <c:pt idx="12">
                  <c:v>0</c:v>
                </c:pt>
                <c:pt idx="13">
                  <c:v>0</c:v>
                </c:pt>
                <c:pt idx="14">
                  <c:v>11894.734214972899</c:v>
                </c:pt>
                <c:pt idx="15">
                  <c:v>0</c:v>
                </c:pt>
                <c:pt idx="16">
                  <c:v>0</c:v>
                </c:pt>
                <c:pt idx="17">
                  <c:v>11894.734214972899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3-E04C-8789-9A29B8BA52D5}"/>
            </c:ext>
          </c:extLst>
        </c:ser>
        <c:ser>
          <c:idx val="4"/>
          <c:order val="4"/>
          <c:tx>
            <c:strRef>
              <c:f>capacity!$A$7</c:f>
              <c:strCache>
                <c:ptCount val="1"/>
                <c:pt idx="0">
                  <c:v>CT_onshore_wind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(capacity!$D$7:$F$7,capacity!$G$7:$I$7,capacity!$J$7:$L$7,capacity!$M$7:$O$7,capacity!$P$7:$R$7,capacity!$S$7:$U$7)</c:f>
              <c:numCache>
                <c:formatCode>_(* #,##0_);_(* \(#,##0\);_(* "-"??_);_(@_)</c:formatCode>
                <c:ptCount val="18"/>
                <c:pt idx="0">
                  <c:v>316.898860018162</c:v>
                </c:pt>
                <c:pt idx="1">
                  <c:v>316.898860018162</c:v>
                </c:pt>
                <c:pt idx="2">
                  <c:v>11229.6535894145</c:v>
                </c:pt>
                <c:pt idx="3">
                  <c:v>4.7441486567292603</c:v>
                </c:pt>
                <c:pt idx="4">
                  <c:v>4.7441486567292603</c:v>
                </c:pt>
                <c:pt idx="5">
                  <c:v>10212.840495124899</c:v>
                </c:pt>
                <c:pt idx="6">
                  <c:v>1010.93575052261</c:v>
                </c:pt>
                <c:pt idx="7">
                  <c:v>1010.93575052261</c:v>
                </c:pt>
                <c:pt idx="8">
                  <c:v>11188.887572215899</c:v>
                </c:pt>
                <c:pt idx="9">
                  <c:v>0</c:v>
                </c:pt>
                <c:pt idx="10">
                  <c:v>0</c:v>
                </c:pt>
                <c:pt idx="11">
                  <c:v>10967.8273765127</c:v>
                </c:pt>
                <c:pt idx="12">
                  <c:v>0</c:v>
                </c:pt>
                <c:pt idx="13">
                  <c:v>0</c:v>
                </c:pt>
                <c:pt idx="14">
                  <c:v>10520.0018331888</c:v>
                </c:pt>
                <c:pt idx="15">
                  <c:v>0</c:v>
                </c:pt>
                <c:pt idx="16">
                  <c:v>0</c:v>
                </c:pt>
                <c:pt idx="17">
                  <c:v>10520.0018331888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3-E04C-8789-9A29B8BA52D5}"/>
            </c:ext>
          </c:extLst>
        </c:ser>
        <c:ser>
          <c:idx val="5"/>
          <c:order val="5"/>
          <c:tx>
            <c:strRef>
              <c:f>capacity!$A$8</c:f>
              <c:strCache>
                <c:ptCount val="1"/>
                <c:pt idx="0">
                  <c:v>CT_solar_pv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(capacity!$D$8:$F$8,capacity!$G$8:$I$8,capacity!$J$8:$L$8,capacity!$M$8:$O$8,capacity!$P$8:$R$8,capacity!$S$8:$U$8)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17689.616078073599</c:v>
                </c:pt>
                <c:pt idx="3">
                  <c:v>0</c:v>
                </c:pt>
                <c:pt idx="4">
                  <c:v>0</c:v>
                </c:pt>
                <c:pt idx="5">
                  <c:v>20927.339371331102</c:v>
                </c:pt>
                <c:pt idx="6">
                  <c:v>0</c:v>
                </c:pt>
                <c:pt idx="7">
                  <c:v>0</c:v>
                </c:pt>
                <c:pt idx="8">
                  <c:v>19914.6471827481</c:v>
                </c:pt>
                <c:pt idx="9">
                  <c:v>0</c:v>
                </c:pt>
                <c:pt idx="10">
                  <c:v>0</c:v>
                </c:pt>
                <c:pt idx="11">
                  <c:v>20190.009490573098</c:v>
                </c:pt>
                <c:pt idx="12">
                  <c:v>0</c:v>
                </c:pt>
                <c:pt idx="13">
                  <c:v>0</c:v>
                </c:pt>
                <c:pt idx="14">
                  <c:v>20702.862102359501</c:v>
                </c:pt>
                <c:pt idx="15">
                  <c:v>0</c:v>
                </c:pt>
                <c:pt idx="16">
                  <c:v>0</c:v>
                </c:pt>
                <c:pt idx="17">
                  <c:v>20702.862102359501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43-E04C-8789-9A29B8BA52D5}"/>
            </c:ext>
          </c:extLst>
        </c:ser>
        <c:ser>
          <c:idx val="6"/>
          <c:order val="6"/>
          <c:tx>
            <c:strRef>
              <c:f>capacity!$A$9</c:f>
              <c:strCache>
                <c:ptCount val="1"/>
                <c:pt idx="0">
                  <c:v>ME_onshore_wind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(capacity!$D$9:$F$9,capacity!$G$9:$I$9,capacity!$J$9:$L$9,capacity!$M$9:$O$9,capacity!$P$9:$R$9,capacity!$S$9:$U$9)</c:f>
              <c:numCache>
                <c:formatCode>_(* #,##0_);_(* \(#,##0\);_(* "-"??_);_(@_)</c:formatCode>
                <c:ptCount val="18"/>
                <c:pt idx="0">
                  <c:v>2623.3992974899302</c:v>
                </c:pt>
                <c:pt idx="1">
                  <c:v>2623.3992974899302</c:v>
                </c:pt>
                <c:pt idx="2">
                  <c:v>13076.856682264301</c:v>
                </c:pt>
                <c:pt idx="3">
                  <c:v>0</c:v>
                </c:pt>
                <c:pt idx="4">
                  <c:v>0</c:v>
                </c:pt>
                <c:pt idx="5">
                  <c:v>12943.6549256775</c:v>
                </c:pt>
                <c:pt idx="6">
                  <c:v>753.48554957486397</c:v>
                </c:pt>
                <c:pt idx="7">
                  <c:v>753.48554957486397</c:v>
                </c:pt>
                <c:pt idx="8">
                  <c:v>13148.9504991136</c:v>
                </c:pt>
                <c:pt idx="9">
                  <c:v>0</c:v>
                </c:pt>
                <c:pt idx="10">
                  <c:v>0</c:v>
                </c:pt>
                <c:pt idx="11">
                  <c:v>12996.9775678922</c:v>
                </c:pt>
                <c:pt idx="12">
                  <c:v>0</c:v>
                </c:pt>
                <c:pt idx="13">
                  <c:v>0</c:v>
                </c:pt>
                <c:pt idx="14">
                  <c:v>12814.3064348687</c:v>
                </c:pt>
                <c:pt idx="15">
                  <c:v>0</c:v>
                </c:pt>
                <c:pt idx="16">
                  <c:v>0</c:v>
                </c:pt>
                <c:pt idx="17">
                  <c:v>12814.3064348687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3-E04C-8789-9A29B8BA52D5}"/>
            </c:ext>
          </c:extLst>
        </c:ser>
        <c:ser>
          <c:idx val="7"/>
          <c:order val="7"/>
          <c:tx>
            <c:strRef>
              <c:f>capacity!$A$10</c:f>
              <c:strCache>
                <c:ptCount val="1"/>
                <c:pt idx="0">
                  <c:v>MA_battery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(capacity!$D$10:$F$10,capacity!$G$10:$I$10,capacity!$J$10:$L$10,capacity!$M$10:$O$10,capacity!$P$10:$R$10,capacity!$S$10:$U$10)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1911.7941365599499</c:v>
                </c:pt>
                <c:pt idx="3">
                  <c:v>0</c:v>
                </c:pt>
                <c:pt idx="4">
                  <c:v>0</c:v>
                </c:pt>
                <c:pt idx="5">
                  <c:v>1126.68530219731</c:v>
                </c:pt>
                <c:pt idx="6">
                  <c:v>200.97641988671199</c:v>
                </c:pt>
                <c:pt idx="7">
                  <c:v>200.97641988671199</c:v>
                </c:pt>
                <c:pt idx="8">
                  <c:v>1153.66557159799</c:v>
                </c:pt>
                <c:pt idx="9">
                  <c:v>0</c:v>
                </c:pt>
                <c:pt idx="10">
                  <c:v>0</c:v>
                </c:pt>
                <c:pt idx="11">
                  <c:v>1112.95783741896</c:v>
                </c:pt>
                <c:pt idx="12">
                  <c:v>0</c:v>
                </c:pt>
                <c:pt idx="13">
                  <c:v>0</c:v>
                </c:pt>
                <c:pt idx="14">
                  <c:v>1168.7786533893</c:v>
                </c:pt>
                <c:pt idx="15">
                  <c:v>0</c:v>
                </c:pt>
                <c:pt idx="16">
                  <c:v>0</c:v>
                </c:pt>
                <c:pt idx="17">
                  <c:v>1168.7786533893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43-E04C-8789-9A29B8BA52D5}"/>
            </c:ext>
          </c:extLst>
        </c:ser>
        <c:ser>
          <c:idx val="8"/>
          <c:order val="8"/>
          <c:tx>
            <c:strRef>
              <c:f>capacity!$A$11</c:f>
              <c:strCache>
                <c:ptCount val="1"/>
                <c:pt idx="0">
                  <c:v>CT_battery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(capacity!$D$11:$F$11,capacity!$G$11:$I$11,capacity!$J$11:$L$11,capacity!$M$11:$O$11,capacity!$P$11:$R$11,capacity!$S$11:$U$11)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5102.2827120449701</c:v>
                </c:pt>
                <c:pt idx="3">
                  <c:v>0</c:v>
                </c:pt>
                <c:pt idx="4">
                  <c:v>487.46348301212402</c:v>
                </c:pt>
                <c:pt idx="5">
                  <c:v>6015.3205241773603</c:v>
                </c:pt>
                <c:pt idx="6">
                  <c:v>3.5527136788005001E-12</c:v>
                </c:pt>
                <c:pt idx="7">
                  <c:v>0</c:v>
                </c:pt>
                <c:pt idx="8">
                  <c:v>5874.5761502144396</c:v>
                </c:pt>
                <c:pt idx="9">
                  <c:v>0</c:v>
                </c:pt>
                <c:pt idx="10">
                  <c:v>0</c:v>
                </c:pt>
                <c:pt idx="11">
                  <c:v>5941.4841550067904</c:v>
                </c:pt>
                <c:pt idx="12">
                  <c:v>0</c:v>
                </c:pt>
                <c:pt idx="13">
                  <c:v>0</c:v>
                </c:pt>
                <c:pt idx="14">
                  <c:v>5987.8591245724601</c:v>
                </c:pt>
                <c:pt idx="15">
                  <c:v>0</c:v>
                </c:pt>
                <c:pt idx="16">
                  <c:v>0</c:v>
                </c:pt>
                <c:pt idx="17">
                  <c:v>5987.8591245724601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43-E04C-8789-9A29B8BA52D5}"/>
            </c:ext>
          </c:extLst>
        </c:ser>
        <c:ser>
          <c:idx val="9"/>
          <c:order val="9"/>
          <c:tx>
            <c:strRef>
              <c:f>capacity!$A$12</c:f>
              <c:strCache>
                <c:ptCount val="1"/>
                <c:pt idx="0">
                  <c:v>ME_battery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(capacity!$D$12:$F$12,capacity!$G$12:$I$12,capacity!$J$12:$L$12,capacity!$M$12:$O$12,capacity!$P$12:$R$12,capacity!$S$12:$U$12)</c:f>
              <c:numCache>
                <c:formatCode>_(* #,##0_);_(* \(#,##0\);_(*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1444.3203101010099</c:v>
                </c:pt>
                <c:pt idx="3">
                  <c:v>0</c:v>
                </c:pt>
                <c:pt idx="4">
                  <c:v>0</c:v>
                </c:pt>
                <c:pt idx="5">
                  <c:v>1520.5818787912799</c:v>
                </c:pt>
                <c:pt idx="6">
                  <c:v>0</c:v>
                </c:pt>
                <c:pt idx="7">
                  <c:v>0</c:v>
                </c:pt>
                <c:pt idx="8">
                  <c:v>1468.7951275268699</c:v>
                </c:pt>
                <c:pt idx="9">
                  <c:v>0</c:v>
                </c:pt>
                <c:pt idx="10">
                  <c:v>0</c:v>
                </c:pt>
                <c:pt idx="11">
                  <c:v>1528.27777940535</c:v>
                </c:pt>
                <c:pt idx="12">
                  <c:v>0</c:v>
                </c:pt>
                <c:pt idx="13">
                  <c:v>0</c:v>
                </c:pt>
                <c:pt idx="14">
                  <c:v>1492.9451730983601</c:v>
                </c:pt>
                <c:pt idx="15">
                  <c:v>0</c:v>
                </c:pt>
                <c:pt idx="16">
                  <c:v>0</c:v>
                </c:pt>
                <c:pt idx="17">
                  <c:v>1492.9451730983601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43-E04C-8789-9A29B8BA52D5}"/>
            </c:ext>
          </c:extLst>
        </c:ser>
        <c:ser>
          <c:idx val="10"/>
          <c:order val="10"/>
          <c:tx>
            <c:strRef>
              <c:f>capacity!$A$13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(capacity!$D$13:$F$13,capacity!$G$13:$I$13,capacity!$J$13:$L$13,capacity!$M$13:$O$13,capacity!$P$13:$R$13,capacity!$S$13:$U$13)</c:f>
              <c:numCache>
                <c:formatCode>_(* #,##0_);_(* \(#,##0\);_(* "-"??_);_(@_)</c:formatCode>
                <c:ptCount val="18"/>
                <c:pt idx="0">
                  <c:v>25643.662874299898</c:v>
                </c:pt>
                <c:pt idx="1">
                  <c:v>25643.662874299898</c:v>
                </c:pt>
                <c:pt idx="2">
                  <c:v>76367.9313833497</c:v>
                </c:pt>
                <c:pt idx="3">
                  <c:v>23137.782808041298</c:v>
                </c:pt>
                <c:pt idx="4">
                  <c:v>23638.517954118499</c:v>
                </c:pt>
                <c:pt idx="5">
                  <c:v>75637.166448478994</c:v>
                </c:pt>
                <c:pt idx="6">
                  <c:v>24593.058353979599</c:v>
                </c:pt>
                <c:pt idx="7">
                  <c:v>24593.058353979599</c:v>
                </c:pt>
                <c:pt idx="8">
                  <c:v>75953.218109703303</c:v>
                </c:pt>
                <c:pt idx="9">
                  <c:v>23578.922098351599</c:v>
                </c:pt>
                <c:pt idx="10">
                  <c:v>23649.676909348502</c:v>
                </c:pt>
                <c:pt idx="11">
                  <c:v>75971.045299941601</c:v>
                </c:pt>
                <c:pt idx="12">
                  <c:v>23665.040132300001</c:v>
                </c:pt>
                <c:pt idx="13">
                  <c:v>23670.124079069599</c:v>
                </c:pt>
                <c:pt idx="14">
                  <c:v>75908.429748837094</c:v>
                </c:pt>
                <c:pt idx="15">
                  <c:v>23665.040132300001</c:v>
                </c:pt>
                <c:pt idx="16">
                  <c:v>23670.124079069599</c:v>
                </c:pt>
                <c:pt idx="17">
                  <c:v>75908.429748837094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43-E04C-8789-9A29B8BA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3440"/>
        <c:axId val="56305152"/>
      </c:barChart>
      <c:catAx>
        <c:axId val="563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52"/>
        <c:crosses val="autoZero"/>
        <c:auto val="1"/>
        <c:lblAlgn val="ctr"/>
        <c:lblOffset val="100"/>
        <c:noMultiLvlLbl val="0"/>
      </c:catAx>
      <c:valAx>
        <c:axId val="56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18</xdr:col>
      <xdr:colOff>25400</xdr:colOff>
      <xdr:row>48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65C00-7C53-A88F-B4D6-940B8A185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11</xdr:row>
      <xdr:rowOff>88900</xdr:rowOff>
    </xdr:from>
    <xdr:to>
      <xdr:col>23</xdr:col>
      <xdr:colOff>381000</xdr:colOff>
      <xdr:row>51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E7A1D-3EC4-16BE-9304-3A064F564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3" sqref="B3:S11"/>
    </sheetView>
  </sheetViews>
  <sheetFormatPr baseColWidth="10" defaultRowHeight="16" x14ac:dyDescent="0.2"/>
  <cols>
    <col min="1" max="1" width="10.83203125" style="1"/>
  </cols>
  <sheetData>
    <row r="1" spans="1:19" s="1" customFormat="1" x14ac:dyDescent="0.2">
      <c r="A1" s="1" t="s">
        <v>13</v>
      </c>
      <c r="E1" s="1" t="s">
        <v>14</v>
      </c>
      <c r="H1" s="1" t="s">
        <v>16</v>
      </c>
      <c r="K1" s="1" t="s">
        <v>15</v>
      </c>
      <c r="N1" s="1" t="s">
        <v>17</v>
      </c>
      <c r="Q1" s="1" t="s">
        <v>18</v>
      </c>
    </row>
    <row r="2" spans="1:19" x14ac:dyDescent="0.2">
      <c r="A2" s="1" t="s">
        <v>0</v>
      </c>
      <c r="B2" s="2" t="s">
        <v>1</v>
      </c>
      <c r="C2" s="2" t="s">
        <v>2</v>
      </c>
      <c r="D2" s="2" t="s">
        <v>3</v>
      </c>
      <c r="E2" s="5" t="s">
        <v>1</v>
      </c>
      <c r="F2" s="5" t="s">
        <v>2</v>
      </c>
      <c r="G2" s="5" t="s">
        <v>3</v>
      </c>
      <c r="H2" s="8" t="s">
        <v>1</v>
      </c>
      <c r="I2" s="8" t="s">
        <v>2</v>
      </c>
      <c r="J2" s="8" t="s">
        <v>3</v>
      </c>
      <c r="K2" s="11" t="s">
        <v>1</v>
      </c>
      <c r="L2" s="11" t="s">
        <v>2</v>
      </c>
      <c r="M2" s="11" t="s">
        <v>3</v>
      </c>
      <c r="N2" s="14" t="s">
        <v>1</v>
      </c>
      <c r="O2" s="14" t="s">
        <v>2</v>
      </c>
      <c r="P2" s="14" t="s">
        <v>3</v>
      </c>
      <c r="Q2" s="17" t="s">
        <v>1</v>
      </c>
      <c r="R2" s="17" t="s">
        <v>2</v>
      </c>
      <c r="S2" s="17" t="s">
        <v>3</v>
      </c>
    </row>
    <row r="3" spans="1:19" x14ac:dyDescent="0.2">
      <c r="A3" s="1" t="s">
        <v>4</v>
      </c>
      <c r="B3" s="3">
        <v>30896236780.9174</v>
      </c>
      <c r="C3" s="3">
        <v>583381337.96656096</v>
      </c>
      <c r="D3" s="3">
        <v>4395339330.4987497</v>
      </c>
      <c r="E3" s="6">
        <v>21436909619.547501</v>
      </c>
      <c r="F3" s="6">
        <v>2043912537.14044</v>
      </c>
      <c r="G3" s="6">
        <v>91531329234.979202</v>
      </c>
      <c r="H3" s="9">
        <v>25687510424.357498</v>
      </c>
      <c r="I3" s="9">
        <v>1632976902.3617699</v>
      </c>
      <c r="J3" s="9">
        <v>56069591015.805</v>
      </c>
      <c r="K3" s="12">
        <v>22239845078.1507</v>
      </c>
      <c r="L3" s="12">
        <v>1640862271.5859301</v>
      </c>
      <c r="M3" s="12">
        <v>55701111841.8423</v>
      </c>
      <c r="N3" s="15">
        <v>23195760067.860298</v>
      </c>
      <c r="O3" s="15">
        <v>1274721920.8396001</v>
      </c>
      <c r="P3" s="15">
        <v>31809596869.117901</v>
      </c>
      <c r="Q3" s="18">
        <v>23195760067.860298</v>
      </c>
      <c r="R3" s="18">
        <v>1274721920.8396001</v>
      </c>
      <c r="S3" s="18">
        <v>31809596869.117901</v>
      </c>
    </row>
    <row r="4" spans="1:19" x14ac:dyDescent="0.2">
      <c r="A4" s="1" t="s">
        <v>5</v>
      </c>
      <c r="B4" s="3">
        <v>6401144340.3310499</v>
      </c>
      <c r="C4" s="3">
        <v>614982406.65732598</v>
      </c>
      <c r="D4" s="3">
        <v>36457012.124949902</v>
      </c>
      <c r="E4" s="6">
        <v>1193832746.1475999</v>
      </c>
      <c r="F4" s="6">
        <v>2237257536.4066</v>
      </c>
      <c r="G4" s="6">
        <v>709657001.49232304</v>
      </c>
      <c r="H4" s="9">
        <v>3265490556.6759601</v>
      </c>
      <c r="I4" s="9">
        <v>2093798824.6630299</v>
      </c>
      <c r="J4" s="9">
        <v>365134462.42998499</v>
      </c>
      <c r="K4" s="12">
        <v>1907048884.5699</v>
      </c>
      <c r="L4" s="12">
        <v>2751429426.3015099</v>
      </c>
      <c r="M4" s="12">
        <v>375748483.548051</v>
      </c>
      <c r="N4" s="15">
        <v>3437372151.2898002</v>
      </c>
      <c r="O4" s="15">
        <v>2207629045.12465</v>
      </c>
      <c r="P4" s="15">
        <v>221938539.916242</v>
      </c>
      <c r="Q4" s="18">
        <v>3437372151.2898002</v>
      </c>
      <c r="R4" s="18">
        <v>2207629045.12465</v>
      </c>
      <c r="S4" s="18">
        <v>221938539.916242</v>
      </c>
    </row>
    <row r="5" spans="1:19" x14ac:dyDescent="0.2">
      <c r="A5" s="1" t="s">
        <v>6</v>
      </c>
      <c r="B5" s="3">
        <v>2088142185.9433601</v>
      </c>
      <c r="C5" s="3">
        <v>573709350.49188495</v>
      </c>
      <c r="D5" s="3">
        <v>54668497.237181902</v>
      </c>
      <c r="E5" s="6">
        <v>2383724148.7771502</v>
      </c>
      <c r="F5" s="6">
        <v>2132866219.98243</v>
      </c>
      <c r="G5" s="6">
        <v>179488805.474749</v>
      </c>
      <c r="H5" s="9">
        <v>2218578294.1156402</v>
      </c>
      <c r="I5" s="9">
        <v>1470914497.6042299</v>
      </c>
      <c r="J5" s="9">
        <v>115004076.181274</v>
      </c>
      <c r="K5" s="12">
        <v>2361916665.1073999</v>
      </c>
      <c r="L5" s="12">
        <v>1950728427.60377</v>
      </c>
      <c r="M5" s="12">
        <v>143514480.499082</v>
      </c>
      <c r="N5" s="15">
        <v>2358419891.53684</v>
      </c>
      <c r="O5" s="15">
        <v>1569781677.12867</v>
      </c>
      <c r="P5" s="15">
        <v>115498019.995546</v>
      </c>
      <c r="Q5" s="18">
        <v>2358419891.53684</v>
      </c>
      <c r="R5" s="18">
        <v>1569781677.12867</v>
      </c>
      <c r="S5" s="18">
        <v>115498019.995546</v>
      </c>
    </row>
    <row r="6" spans="1:19" x14ac:dyDescent="0.2">
      <c r="A6" s="1" t="s">
        <v>7</v>
      </c>
      <c r="B6" s="3">
        <v>161264165.08291501</v>
      </c>
      <c r="C6" s="3">
        <v>15576579.9371743</v>
      </c>
      <c r="D6" s="4">
        <v>0</v>
      </c>
      <c r="E6" s="6">
        <v>224535187.28865799</v>
      </c>
      <c r="F6" s="6">
        <v>37212289.680841498</v>
      </c>
      <c r="G6" s="7">
        <v>0</v>
      </c>
      <c r="H6" s="9">
        <v>23514382.056967001</v>
      </c>
      <c r="I6" s="9">
        <v>15141561.532311199</v>
      </c>
      <c r="J6" s="10">
        <v>0</v>
      </c>
      <c r="K6" s="12">
        <v>55905137.278416499</v>
      </c>
      <c r="L6" s="12">
        <v>37197458.1304546</v>
      </c>
      <c r="M6" s="13">
        <v>0</v>
      </c>
      <c r="N6" s="15">
        <v>49897339.394862697</v>
      </c>
      <c r="O6" s="15">
        <v>29849139.203948401</v>
      </c>
      <c r="P6" s="16">
        <v>0</v>
      </c>
      <c r="Q6" s="18">
        <v>49897339.394862697</v>
      </c>
      <c r="R6" s="18">
        <v>29849139.203948401</v>
      </c>
      <c r="S6" s="19">
        <v>0</v>
      </c>
    </row>
    <row r="7" spans="1:19" x14ac:dyDescent="0.2">
      <c r="A7" s="1" t="s">
        <v>8</v>
      </c>
      <c r="B7" s="3">
        <v>28039606.8700011</v>
      </c>
      <c r="C7" s="3">
        <v>3213957.7069950998</v>
      </c>
      <c r="D7" s="3">
        <v>36458472.987727202</v>
      </c>
      <c r="E7" s="7">
        <v>497571.39287071401</v>
      </c>
      <c r="F7" s="6">
        <v>1900452.08668543</v>
      </c>
      <c r="G7" s="6">
        <v>605238613.21854997</v>
      </c>
      <c r="H7" s="9">
        <v>2567362.3834398901</v>
      </c>
      <c r="I7" s="10">
        <v>773277.30184429395</v>
      </c>
      <c r="J7" s="9">
        <v>342749999.04712802</v>
      </c>
      <c r="K7" s="12">
        <v>2033286.8676331199</v>
      </c>
      <c r="L7" s="12">
        <v>5053586.1146339402</v>
      </c>
      <c r="M7" s="12">
        <v>351336288.88627398</v>
      </c>
      <c r="N7" s="15">
        <v>2609160.1794531099</v>
      </c>
      <c r="O7" s="15">
        <v>1183594.8191714899</v>
      </c>
      <c r="P7" s="15">
        <v>204535221.748923</v>
      </c>
      <c r="Q7" s="18">
        <v>2609160.1794531099</v>
      </c>
      <c r="R7" s="18">
        <v>1183594.8191714899</v>
      </c>
      <c r="S7" s="18">
        <v>204535221.748923</v>
      </c>
    </row>
    <row r="8" spans="1:19" x14ac:dyDescent="0.2">
      <c r="A8" s="1" t="s">
        <v>9</v>
      </c>
      <c r="B8" s="4">
        <v>0</v>
      </c>
      <c r="C8" s="4">
        <v>0</v>
      </c>
      <c r="D8" s="4">
        <v>0</v>
      </c>
      <c r="E8" s="7">
        <v>0</v>
      </c>
      <c r="F8" s="7">
        <v>0</v>
      </c>
      <c r="G8" s="7">
        <v>0</v>
      </c>
      <c r="H8" s="10">
        <v>0</v>
      </c>
      <c r="I8" s="10">
        <v>0</v>
      </c>
      <c r="J8" s="10">
        <v>0</v>
      </c>
      <c r="K8" s="13">
        <v>0</v>
      </c>
      <c r="L8" s="13">
        <v>0</v>
      </c>
      <c r="M8" s="13">
        <v>0</v>
      </c>
      <c r="N8" s="16">
        <v>0</v>
      </c>
      <c r="O8" s="16">
        <v>0</v>
      </c>
      <c r="P8" s="16">
        <v>0</v>
      </c>
      <c r="Q8" s="19">
        <v>0</v>
      </c>
      <c r="R8" s="19">
        <v>0</v>
      </c>
      <c r="S8" s="19">
        <v>0</v>
      </c>
    </row>
    <row r="9" spans="1:19" x14ac:dyDescent="0.2">
      <c r="A9" s="1" t="s">
        <v>10</v>
      </c>
      <c r="B9" s="3">
        <v>479407334.01757699</v>
      </c>
      <c r="C9" s="3">
        <v>74989083.644476399</v>
      </c>
      <c r="D9" s="3">
        <v>12584470.481489699</v>
      </c>
      <c r="E9" s="6">
        <v>317788345.49527597</v>
      </c>
      <c r="F9" s="6">
        <v>281629217.84092098</v>
      </c>
      <c r="G9" s="6">
        <v>513617992.576594</v>
      </c>
      <c r="H9" s="9">
        <v>479407334.01757699</v>
      </c>
      <c r="I9" s="9">
        <v>167122369.18373099</v>
      </c>
      <c r="J9" s="9">
        <v>242350049.58656499</v>
      </c>
      <c r="K9" s="12">
        <v>464986978.36469102</v>
      </c>
      <c r="L9" s="12">
        <v>193872962.33250901</v>
      </c>
      <c r="M9" s="12">
        <v>261837124.81315699</v>
      </c>
      <c r="N9" s="15">
        <v>479407334.01757699</v>
      </c>
      <c r="O9" s="15">
        <v>132874526.673728</v>
      </c>
      <c r="P9" s="15">
        <v>156560162.532846</v>
      </c>
      <c r="Q9" s="18">
        <v>479407334.01757699</v>
      </c>
      <c r="R9" s="18">
        <v>132874526.673728</v>
      </c>
      <c r="S9" s="18">
        <v>156560162.532846</v>
      </c>
    </row>
    <row r="10" spans="1:19" x14ac:dyDescent="0.2">
      <c r="A10" s="1" t="s">
        <v>11</v>
      </c>
      <c r="B10" s="4">
        <v>0</v>
      </c>
      <c r="C10" s="4">
        <v>0</v>
      </c>
      <c r="D10" s="4">
        <v>0</v>
      </c>
      <c r="E10" s="7">
        <v>0</v>
      </c>
      <c r="F10" s="7">
        <v>0</v>
      </c>
      <c r="G10" s="7">
        <v>0</v>
      </c>
      <c r="H10" s="10">
        <v>0</v>
      </c>
      <c r="I10" s="10">
        <v>0</v>
      </c>
      <c r="J10" s="10">
        <v>0</v>
      </c>
      <c r="K10" s="13">
        <v>0</v>
      </c>
      <c r="L10" s="13">
        <v>0</v>
      </c>
      <c r="M10" s="13">
        <v>0</v>
      </c>
      <c r="N10" s="16">
        <v>0</v>
      </c>
      <c r="O10" s="16">
        <v>0</v>
      </c>
      <c r="P10" s="16">
        <v>0</v>
      </c>
      <c r="Q10" s="19">
        <v>0</v>
      </c>
      <c r="R10" s="19">
        <v>0</v>
      </c>
      <c r="S10" s="19">
        <v>0</v>
      </c>
    </row>
    <row r="11" spans="1:19" x14ac:dyDescent="0.2">
      <c r="A11" s="1" t="s">
        <v>12</v>
      </c>
      <c r="B11" s="4">
        <v>0</v>
      </c>
      <c r="C11" s="4">
        <v>0</v>
      </c>
      <c r="D11" s="4">
        <v>0</v>
      </c>
      <c r="E11" s="7">
        <v>0</v>
      </c>
      <c r="F11" s="7">
        <v>0</v>
      </c>
      <c r="G11" s="7">
        <v>0</v>
      </c>
      <c r="H11" s="10">
        <v>0</v>
      </c>
      <c r="I11" s="10">
        <v>0</v>
      </c>
      <c r="J11" s="10">
        <v>0</v>
      </c>
      <c r="K11" s="13">
        <v>0</v>
      </c>
      <c r="L11" s="13">
        <v>0</v>
      </c>
      <c r="M11" s="13">
        <v>0</v>
      </c>
      <c r="N11" s="16">
        <v>0</v>
      </c>
      <c r="O11" s="16">
        <v>0</v>
      </c>
      <c r="P11" s="16">
        <v>0</v>
      </c>
      <c r="Q11" s="19">
        <v>0</v>
      </c>
      <c r="R11" s="19">
        <v>0</v>
      </c>
      <c r="S11" s="19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workbookViewId="0">
      <selection activeCell="D3" sqref="D3:U16"/>
    </sheetView>
  </sheetViews>
  <sheetFormatPr baseColWidth="10" defaultRowHeight="16" x14ac:dyDescent="0.2"/>
  <cols>
    <col min="1" max="1" width="23.5" customWidth="1"/>
  </cols>
  <sheetData>
    <row r="1" spans="1:21" s="1" customFormat="1" x14ac:dyDescent="0.2">
      <c r="D1" s="2" t="s">
        <v>13</v>
      </c>
      <c r="E1" s="2"/>
      <c r="F1" s="2"/>
      <c r="G1" s="20" t="s">
        <v>14</v>
      </c>
      <c r="H1" s="20"/>
      <c r="I1" s="20"/>
      <c r="J1" s="8" t="s">
        <v>16</v>
      </c>
      <c r="K1" s="8"/>
      <c r="L1" s="8"/>
      <c r="M1" s="21" t="s">
        <v>15</v>
      </c>
      <c r="N1" s="21"/>
      <c r="O1" s="21"/>
      <c r="P1" s="14" t="s">
        <v>17</v>
      </c>
      <c r="Q1" s="14"/>
      <c r="R1" s="14"/>
      <c r="S1" s="22" t="s">
        <v>18</v>
      </c>
      <c r="T1" s="22"/>
      <c r="U1" s="22"/>
    </row>
    <row r="2" spans="1:21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0" t="s">
        <v>22</v>
      </c>
      <c r="H2" s="20" t="s">
        <v>23</v>
      </c>
      <c r="I2" s="20" t="s">
        <v>24</v>
      </c>
      <c r="J2" s="8" t="s">
        <v>22</v>
      </c>
      <c r="K2" s="8" t="s">
        <v>23</v>
      </c>
      <c r="L2" s="8" t="s">
        <v>24</v>
      </c>
      <c r="M2" s="21" t="s">
        <v>22</v>
      </c>
      <c r="N2" s="21" t="s">
        <v>23</v>
      </c>
      <c r="O2" s="21" t="s">
        <v>24</v>
      </c>
      <c r="P2" s="14" t="s">
        <v>22</v>
      </c>
      <c r="Q2" s="14" t="s">
        <v>23</v>
      </c>
      <c r="R2" s="14" t="s">
        <v>24</v>
      </c>
      <c r="S2" s="22" t="s">
        <v>22</v>
      </c>
      <c r="T2" s="22" t="s">
        <v>23</v>
      </c>
      <c r="U2" s="22" t="s">
        <v>24</v>
      </c>
    </row>
    <row r="3" spans="1:21" x14ac:dyDescent="0.2">
      <c r="A3" s="1" t="s">
        <v>25</v>
      </c>
      <c r="B3">
        <v>1</v>
      </c>
      <c r="C3">
        <v>0</v>
      </c>
      <c r="D3" s="23">
        <v>12918.844074410999</v>
      </c>
      <c r="E3" s="23">
        <v>12918.844074410999</v>
      </c>
      <c r="F3" s="23">
        <v>6912.0572310190801</v>
      </c>
      <c r="G3" s="24">
        <v>14413.1131308863</v>
      </c>
      <c r="H3" s="24">
        <v>14413.1131308863</v>
      </c>
      <c r="I3" s="24">
        <v>8360.0752632956992</v>
      </c>
      <c r="J3" s="25">
        <v>12758.174701509201</v>
      </c>
      <c r="K3" s="25">
        <v>12758.174701509201</v>
      </c>
      <c r="L3" s="25">
        <v>8569.8592497260997</v>
      </c>
      <c r="M3" s="26">
        <v>14314.023674349701</v>
      </c>
      <c r="N3" s="26">
        <v>14384.7784853466</v>
      </c>
      <c r="O3" s="26">
        <v>8478.3435169549102</v>
      </c>
      <c r="P3" s="27">
        <v>12723.105066149999</v>
      </c>
      <c r="Q3" s="27">
        <v>12728.1890129196</v>
      </c>
      <c r="R3" s="27">
        <v>8431.3669938702496</v>
      </c>
      <c r="S3" s="28">
        <v>12723.105066149999</v>
      </c>
      <c r="T3" s="28">
        <v>12728.1890129196</v>
      </c>
      <c r="U3" s="28">
        <v>8431.3669938702496</v>
      </c>
    </row>
    <row r="4" spans="1:21" x14ac:dyDescent="0.2">
      <c r="A4" s="1" t="s">
        <v>26</v>
      </c>
      <c r="B4">
        <v>2</v>
      </c>
      <c r="C4">
        <v>0</v>
      </c>
      <c r="D4" s="23">
        <v>9784.5206423808195</v>
      </c>
      <c r="E4" s="23">
        <v>9784.5206423808195</v>
      </c>
      <c r="F4" s="23">
        <v>4294.6317667838302</v>
      </c>
      <c r="G4" s="24">
        <v>7868.5453585232599</v>
      </c>
      <c r="H4" s="24">
        <v>7868.5453585232599</v>
      </c>
      <c r="I4" s="24">
        <v>2412.7025441188198</v>
      </c>
      <c r="J4" s="25">
        <v>9738.9599166571097</v>
      </c>
      <c r="K4" s="25">
        <v>9738.9599166571097</v>
      </c>
      <c r="L4" s="25">
        <v>2343.5419896081798</v>
      </c>
      <c r="M4" s="26">
        <v>8993.0215770019404</v>
      </c>
      <c r="N4" s="26">
        <v>8993.0215770019404</v>
      </c>
      <c r="O4" s="26">
        <v>2408.6800695963002</v>
      </c>
      <c r="P4" s="27">
        <v>10668.064219149999</v>
      </c>
      <c r="Q4" s="27">
        <v>10668.064219149999</v>
      </c>
      <c r="R4" s="27">
        <v>2381.13153075636</v>
      </c>
      <c r="S4" s="28">
        <v>10668.064219149999</v>
      </c>
      <c r="T4" s="28">
        <v>10668.064219149999</v>
      </c>
      <c r="U4" s="28">
        <v>2381.13153075636</v>
      </c>
    </row>
    <row r="5" spans="1:21" x14ac:dyDescent="0.2">
      <c r="A5" s="1" t="s">
        <v>27</v>
      </c>
      <c r="B5">
        <v>3</v>
      </c>
      <c r="C5">
        <v>0</v>
      </c>
      <c r="D5" s="23">
        <v>0</v>
      </c>
      <c r="E5" s="23">
        <v>0</v>
      </c>
      <c r="F5" s="23">
        <v>327.30300028495901</v>
      </c>
      <c r="G5" s="24">
        <v>851.380169974983</v>
      </c>
      <c r="H5" s="24">
        <v>851.380169974983</v>
      </c>
      <c r="I5" s="24">
        <v>495.45921996618301</v>
      </c>
      <c r="J5" s="25">
        <v>130.52601582902699</v>
      </c>
      <c r="K5" s="25">
        <v>130.52601582902699</v>
      </c>
      <c r="L5" s="25">
        <v>524.57317177738605</v>
      </c>
      <c r="M5" s="26">
        <v>271.87684699999897</v>
      </c>
      <c r="N5" s="26">
        <v>271.87684699999897</v>
      </c>
      <c r="O5" s="26">
        <v>522.17701624851895</v>
      </c>
      <c r="P5" s="27">
        <v>273.87084700000003</v>
      </c>
      <c r="Q5" s="27">
        <v>273.87084700000003</v>
      </c>
      <c r="R5" s="27">
        <v>514.44368776029</v>
      </c>
      <c r="S5" s="28">
        <v>273.87084700000003</v>
      </c>
      <c r="T5" s="28">
        <v>273.87084700000003</v>
      </c>
      <c r="U5" s="28">
        <v>514.44368776029</v>
      </c>
    </row>
    <row r="6" spans="1:21" x14ac:dyDescent="0.2">
      <c r="A6" s="1" t="s">
        <v>28</v>
      </c>
      <c r="B6">
        <v>1</v>
      </c>
      <c r="C6">
        <v>0</v>
      </c>
      <c r="D6" s="23">
        <v>0</v>
      </c>
      <c r="E6" s="23">
        <v>0</v>
      </c>
      <c r="F6" s="23">
        <v>14379.415876803299</v>
      </c>
      <c r="G6" s="24">
        <v>0</v>
      </c>
      <c r="H6" s="24">
        <v>13.2716630650415</v>
      </c>
      <c r="I6" s="24">
        <v>11622.506923798701</v>
      </c>
      <c r="J6" s="25">
        <v>0</v>
      </c>
      <c r="K6" s="25">
        <v>0</v>
      </c>
      <c r="L6" s="25">
        <v>11765.7215951747</v>
      </c>
      <c r="M6" s="26">
        <v>0</v>
      </c>
      <c r="N6" s="26">
        <v>0</v>
      </c>
      <c r="O6" s="26">
        <v>11824.3104903326</v>
      </c>
      <c r="P6" s="27">
        <v>0</v>
      </c>
      <c r="Q6" s="27">
        <v>0</v>
      </c>
      <c r="R6" s="27">
        <v>11894.734214972899</v>
      </c>
      <c r="S6" s="28">
        <v>0</v>
      </c>
      <c r="T6" s="28">
        <v>0</v>
      </c>
      <c r="U6" s="28">
        <v>11894.734214972899</v>
      </c>
    </row>
    <row r="7" spans="1:21" x14ac:dyDescent="0.2">
      <c r="A7" s="1" t="s">
        <v>29</v>
      </c>
      <c r="B7">
        <v>2</v>
      </c>
      <c r="C7">
        <v>0</v>
      </c>
      <c r="D7" s="23">
        <v>316.898860018162</v>
      </c>
      <c r="E7" s="23">
        <v>316.898860018162</v>
      </c>
      <c r="F7" s="23">
        <v>11229.6535894145</v>
      </c>
      <c r="G7" s="24">
        <v>4.7441486567292603</v>
      </c>
      <c r="H7" s="24">
        <v>4.7441486567292603</v>
      </c>
      <c r="I7" s="24">
        <v>10212.840495124899</v>
      </c>
      <c r="J7" s="25">
        <v>1010.93575052261</v>
      </c>
      <c r="K7" s="25">
        <v>1010.93575052261</v>
      </c>
      <c r="L7" s="25">
        <v>11188.887572215899</v>
      </c>
      <c r="M7" s="26">
        <v>0</v>
      </c>
      <c r="N7" s="26">
        <v>0</v>
      </c>
      <c r="O7" s="26">
        <v>10967.8273765127</v>
      </c>
      <c r="P7" s="27">
        <v>0</v>
      </c>
      <c r="Q7" s="27">
        <v>0</v>
      </c>
      <c r="R7" s="27">
        <v>10520.0018331888</v>
      </c>
      <c r="S7" s="28">
        <v>0</v>
      </c>
      <c r="T7" s="28">
        <v>0</v>
      </c>
      <c r="U7" s="28">
        <v>10520.0018331888</v>
      </c>
    </row>
    <row r="8" spans="1:21" x14ac:dyDescent="0.2">
      <c r="A8" s="1" t="s">
        <v>30</v>
      </c>
      <c r="B8">
        <v>2</v>
      </c>
      <c r="C8">
        <v>0</v>
      </c>
      <c r="D8" s="23">
        <v>0</v>
      </c>
      <c r="E8" s="23">
        <v>0</v>
      </c>
      <c r="F8" s="23">
        <v>17689.616078073599</v>
      </c>
      <c r="G8" s="24">
        <v>0</v>
      </c>
      <c r="H8" s="24">
        <v>0</v>
      </c>
      <c r="I8" s="24">
        <v>20927.339371331102</v>
      </c>
      <c r="J8" s="25">
        <v>0</v>
      </c>
      <c r="K8" s="25">
        <v>0</v>
      </c>
      <c r="L8" s="25">
        <v>19914.6471827481</v>
      </c>
      <c r="M8" s="26">
        <v>0</v>
      </c>
      <c r="N8" s="26">
        <v>0</v>
      </c>
      <c r="O8" s="26">
        <v>20190.009490573098</v>
      </c>
      <c r="P8" s="27">
        <v>0</v>
      </c>
      <c r="Q8" s="27">
        <v>0</v>
      </c>
      <c r="R8" s="27">
        <v>20702.862102359501</v>
      </c>
      <c r="S8" s="28">
        <v>0</v>
      </c>
      <c r="T8" s="28">
        <v>0</v>
      </c>
      <c r="U8" s="28">
        <v>20702.862102359501</v>
      </c>
    </row>
    <row r="9" spans="1:21" x14ac:dyDescent="0.2">
      <c r="A9" s="1" t="s">
        <v>31</v>
      </c>
      <c r="B9">
        <v>3</v>
      </c>
      <c r="C9">
        <v>0</v>
      </c>
      <c r="D9" s="23">
        <v>2623.3992974899302</v>
      </c>
      <c r="E9" s="23">
        <v>2623.3992974899302</v>
      </c>
      <c r="F9" s="23">
        <v>13076.856682264301</v>
      </c>
      <c r="G9" s="24">
        <v>0</v>
      </c>
      <c r="H9" s="24">
        <v>0</v>
      </c>
      <c r="I9" s="24">
        <v>12943.6549256775</v>
      </c>
      <c r="J9" s="25">
        <v>753.48554957486397</v>
      </c>
      <c r="K9" s="25">
        <v>753.48554957486397</v>
      </c>
      <c r="L9" s="25">
        <v>13148.9504991136</v>
      </c>
      <c r="M9" s="26">
        <v>0</v>
      </c>
      <c r="N9" s="26">
        <v>0</v>
      </c>
      <c r="O9" s="26">
        <v>12996.9775678922</v>
      </c>
      <c r="P9" s="27">
        <v>0</v>
      </c>
      <c r="Q9" s="27">
        <v>0</v>
      </c>
      <c r="R9" s="27">
        <v>12814.3064348687</v>
      </c>
      <c r="S9" s="28">
        <v>0</v>
      </c>
      <c r="T9" s="28">
        <v>0</v>
      </c>
      <c r="U9" s="28">
        <v>12814.3064348687</v>
      </c>
    </row>
    <row r="10" spans="1:21" x14ac:dyDescent="0.2">
      <c r="A10" s="1" t="s">
        <v>32</v>
      </c>
      <c r="B10">
        <v>1</v>
      </c>
      <c r="C10">
        <v>0</v>
      </c>
      <c r="D10" s="23">
        <v>0</v>
      </c>
      <c r="E10" s="23">
        <v>0</v>
      </c>
      <c r="F10" s="23">
        <v>1911.7941365599499</v>
      </c>
      <c r="G10" s="24">
        <v>0</v>
      </c>
      <c r="H10" s="24">
        <v>0</v>
      </c>
      <c r="I10" s="24">
        <v>1126.68530219731</v>
      </c>
      <c r="J10" s="25">
        <v>200.97641988671199</v>
      </c>
      <c r="K10" s="25">
        <v>200.97641988671199</v>
      </c>
      <c r="L10" s="25">
        <v>1153.66557159799</v>
      </c>
      <c r="M10" s="26">
        <v>0</v>
      </c>
      <c r="N10" s="26">
        <v>0</v>
      </c>
      <c r="O10" s="26">
        <v>1112.95783741896</v>
      </c>
      <c r="P10" s="27">
        <v>0</v>
      </c>
      <c r="Q10" s="27">
        <v>0</v>
      </c>
      <c r="R10" s="27">
        <v>1168.7786533893</v>
      </c>
      <c r="S10" s="28">
        <v>0</v>
      </c>
      <c r="T10" s="28">
        <v>0</v>
      </c>
      <c r="U10" s="28">
        <v>1168.7786533893</v>
      </c>
    </row>
    <row r="11" spans="1:21" x14ac:dyDescent="0.2">
      <c r="A11" s="1" t="s">
        <v>33</v>
      </c>
      <c r="B11">
        <v>2</v>
      </c>
      <c r="C11">
        <v>0</v>
      </c>
      <c r="D11" s="23">
        <v>0</v>
      </c>
      <c r="E11" s="23">
        <v>0</v>
      </c>
      <c r="F11" s="23">
        <v>5102.2827120449701</v>
      </c>
      <c r="G11" s="24">
        <v>0</v>
      </c>
      <c r="H11" s="24">
        <v>487.46348301212402</v>
      </c>
      <c r="I11" s="24">
        <v>6015.3205241773603</v>
      </c>
      <c r="J11" s="25">
        <v>3.5527136788005001E-12</v>
      </c>
      <c r="K11" s="25">
        <v>0</v>
      </c>
      <c r="L11" s="25">
        <v>5874.5761502144396</v>
      </c>
      <c r="M11" s="26">
        <v>0</v>
      </c>
      <c r="N11" s="26">
        <v>0</v>
      </c>
      <c r="O11" s="26">
        <v>5941.4841550067904</v>
      </c>
      <c r="P11" s="27">
        <v>0</v>
      </c>
      <c r="Q11" s="27">
        <v>0</v>
      </c>
      <c r="R11" s="27">
        <v>5987.8591245724601</v>
      </c>
      <c r="S11" s="28">
        <v>0</v>
      </c>
      <c r="T11" s="28">
        <v>0</v>
      </c>
      <c r="U11" s="28">
        <v>5987.8591245724601</v>
      </c>
    </row>
    <row r="12" spans="1:21" x14ac:dyDescent="0.2">
      <c r="A12" s="1" t="s">
        <v>34</v>
      </c>
      <c r="B12">
        <v>3</v>
      </c>
      <c r="C12">
        <v>0</v>
      </c>
      <c r="D12" s="23">
        <v>0</v>
      </c>
      <c r="E12" s="23">
        <v>0</v>
      </c>
      <c r="F12" s="23">
        <v>1444.3203101010099</v>
      </c>
      <c r="G12" s="24">
        <v>0</v>
      </c>
      <c r="H12" s="24">
        <v>0</v>
      </c>
      <c r="I12" s="24">
        <v>1520.5818787912799</v>
      </c>
      <c r="J12" s="25">
        <v>0</v>
      </c>
      <c r="K12" s="25">
        <v>0</v>
      </c>
      <c r="L12" s="25">
        <v>1468.7951275268699</v>
      </c>
      <c r="M12" s="26">
        <v>0</v>
      </c>
      <c r="N12" s="26">
        <v>0</v>
      </c>
      <c r="O12" s="26">
        <v>1528.27777940535</v>
      </c>
      <c r="P12" s="27">
        <v>0</v>
      </c>
      <c r="Q12" s="27">
        <v>0</v>
      </c>
      <c r="R12" s="27">
        <v>1492.9451730983601</v>
      </c>
      <c r="S12" s="28">
        <v>0</v>
      </c>
      <c r="T12" s="28">
        <v>0</v>
      </c>
      <c r="U12" s="28">
        <v>1492.9451730983601</v>
      </c>
    </row>
    <row r="13" spans="1:21" x14ac:dyDescent="0.2">
      <c r="A13" s="1" t="s">
        <v>35</v>
      </c>
      <c r="B13" t="s">
        <v>36</v>
      </c>
      <c r="C13">
        <v>0</v>
      </c>
      <c r="D13" s="23">
        <v>25643.662874299898</v>
      </c>
      <c r="E13" s="23">
        <v>25643.662874299898</v>
      </c>
      <c r="F13" s="23">
        <v>76367.9313833497</v>
      </c>
      <c r="G13" s="24">
        <v>23137.782808041298</v>
      </c>
      <c r="H13" s="24">
        <v>23638.517954118499</v>
      </c>
      <c r="I13" s="24">
        <v>75637.166448478994</v>
      </c>
      <c r="J13" s="25">
        <v>24593.058353979599</v>
      </c>
      <c r="K13" s="25">
        <v>24593.058353979599</v>
      </c>
      <c r="L13" s="25">
        <v>75953.218109703303</v>
      </c>
      <c r="M13" s="26">
        <v>23578.922098351599</v>
      </c>
      <c r="N13" s="26">
        <v>23649.676909348502</v>
      </c>
      <c r="O13" s="26">
        <v>75971.045299941601</v>
      </c>
      <c r="P13" s="27">
        <v>23665.040132300001</v>
      </c>
      <c r="Q13" s="27">
        <v>23670.124079069599</v>
      </c>
      <c r="R13" s="27">
        <v>75908.429748837094</v>
      </c>
      <c r="S13" s="28">
        <v>23665.040132300001</v>
      </c>
      <c r="T13" s="28">
        <v>23670.124079069599</v>
      </c>
      <c r="U13" s="28">
        <v>75908.429748837094</v>
      </c>
    </row>
    <row r="14" spans="1:21" x14ac:dyDescent="0.2"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x14ac:dyDescent="0.2"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x14ac:dyDescent="0.2"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costs_multi_stage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Sambuddha Chakrabarti</cp:lastModifiedBy>
  <dcterms:created xsi:type="dcterms:W3CDTF">2024-04-21T22:48:56Z</dcterms:created>
  <dcterms:modified xsi:type="dcterms:W3CDTF">2024-04-22T15:00:53Z</dcterms:modified>
</cp:coreProperties>
</file>